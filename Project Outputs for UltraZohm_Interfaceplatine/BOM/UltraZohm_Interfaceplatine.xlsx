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10_Altium\uz_ext_d_interface\Project Outputs for UltraZohm_Interfaceplatine\BOM\"/>
    </mc:Choice>
  </mc:AlternateContent>
  <bookViews>
    <workbookView xWindow="8952" yWindow="588" windowWidth="18996" windowHeight="12660"/>
  </bookViews>
  <sheets>
    <sheet name="Part List Report" sheetId="3" r:id="rId1"/>
    <sheet name="Project Information" sheetId="4" r:id="rId2"/>
  </sheets>
  <calcPr calcId="162913"/>
</workbook>
</file>

<file path=xl/calcChain.xml><?xml version="1.0" encoding="utf-8"?>
<calcChain xmlns="http://schemas.openxmlformats.org/spreadsheetml/2006/main">
  <c r="B39" i="3" l="1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 l="1"/>
  <c r="B10" i="3"/>
  <c r="G8" i="3"/>
  <c r="H8" i="3"/>
</calcChain>
</file>

<file path=xl/sharedStrings.xml><?xml version="1.0" encoding="utf-8"?>
<sst xmlns="http://schemas.openxmlformats.org/spreadsheetml/2006/main" count="309" uniqueCount="225">
  <si>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</si>
  <si>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</si>
  <si>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</si>
  <si>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</si>
  <si>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</si>
  <si>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</si>
  <si>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</si>
  <si>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</si>
  <si>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</si>
  <si>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</si>
  <si>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</si>
  <si>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</si>
  <si>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</si>
  <si>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</si>
  <si>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Source Data From:</t>
  </si>
  <si>
    <t>Project:</t>
  </si>
  <si>
    <t>Variant:</t>
  </si>
  <si>
    <t>Print Date:</t>
  </si>
  <si>
    <t>Report Date:</t>
  </si>
  <si>
    <t>Notes</t>
  </si>
  <si>
    <t>#</t>
  </si>
  <si>
    <t xml:space="preserve"> </t>
  </si>
  <si>
    <t>Bill of Material</t>
  </si>
  <si>
    <t>Total:</t>
  </si>
  <si>
    <t>Fabrication Notes</t>
  </si>
  <si>
    <t>Bill of Materials for Variant [Standard assembly] of Project [UltraZohm_Interfaceplatine.PrjPcb] (No PCB Document Selected)</t>
  </si>
  <si>
    <t>UltraZohm_Interfaceplatine.PrjPcb</t>
  </si>
  <si>
    <t>Standard assembly</t>
  </si>
  <si>
    <t>04.03.2022</t>
  </si>
  <si>
    <t>14:21</t>
  </si>
  <si>
    <t>91</t>
  </si>
  <si>
    <t>Quantity</t>
  </si>
  <si>
    <t>Designator</t>
  </si>
  <si>
    <t>C1, C3, C4, C5, C6, C13, C14, C15, C16</t>
  </si>
  <si>
    <t>C2, C7, C17, C24_TI_DS26C32AT#1, C24_TI_DS26C32AT#2, C25_RS4221, C25_RS4222, C25_RS4223, C26, C27, C28, C29_Shift_DIAG_FAULT_OC, C29_Shift_TEMP_PWM, C30_Shift_DIAG_FAULT_OC, C30_Shift_TEMP_PWM, C31_Shift_DIAG_FAULT_OC, C31_Shift_TEMP_PWM, C32_Shift_DIAG_FAULT_OC, C32_Shift_TEMP_PWM</t>
  </si>
  <si>
    <t>C8, C18</t>
  </si>
  <si>
    <t>C9, C10, C11, C19, C20, C21</t>
  </si>
  <si>
    <t>C12, C22</t>
  </si>
  <si>
    <t>C33, C34</t>
  </si>
  <si>
    <t>D1</t>
  </si>
  <si>
    <t>D2</t>
  </si>
  <si>
    <t>D4</t>
  </si>
  <si>
    <t>D5</t>
  </si>
  <si>
    <t>F1</t>
  </si>
  <si>
    <t>IC1, IC2, IC3</t>
  </si>
  <si>
    <t>J2</t>
  </si>
  <si>
    <t>L1, L2</t>
  </si>
  <si>
    <t>R1, R2, R3, R4, R15</t>
  </si>
  <si>
    <t>R5</t>
  </si>
  <si>
    <t>R6</t>
  </si>
  <si>
    <t>R7</t>
  </si>
  <si>
    <t>R8, R9</t>
  </si>
  <si>
    <t>R11, R21, R23, R26, R27</t>
  </si>
  <si>
    <t>R12, R17_Shift_DIAG_FAULT_OC, R17_Shift_TEMP_PWM, R18_Shift_DIAG_FAULT_OC, R18_Shift_TEMP_PWM, R19_Shift_DIAG_FAULT_OC, R19_Shift_TEMP_PWM, R20_Shift_DIAG_FAULT_OC, R20_Shift_TEMP_PWM</t>
  </si>
  <si>
    <t>R13</t>
  </si>
  <si>
    <t>T1, T2</t>
  </si>
  <si>
    <t>U1, U2</t>
  </si>
  <si>
    <t>U3_TI_DS26C32AT#1, U3_TI_DS26C32AT#2</t>
  </si>
  <si>
    <t>U4_RS4221, U4_RS4222, U4_RS4223</t>
  </si>
  <si>
    <t>U5_Shift_DIAG_FAULT_OC, U5_Shift_TEMP_PWM</t>
  </si>
  <si>
    <t>U6_Shift_DIAG_FAULT_OC, U6_Shift_TEMP_PWM</t>
  </si>
  <si>
    <t>X1</t>
  </si>
  <si>
    <t>X2</t>
  </si>
  <si>
    <t>Manufacturer</t>
  </si>
  <si>
    <t>muRata</t>
  </si>
  <si>
    <t>KEMET</t>
  </si>
  <si>
    <t>Murata Electronics</t>
  </si>
  <si>
    <t>Wurth Elektronik</t>
  </si>
  <si>
    <t>Wuerth Elektronik</t>
  </si>
  <si>
    <t>On Semiconductor</t>
  </si>
  <si>
    <t>ON Semiconductor / Fairchild</t>
  </si>
  <si>
    <t>Littlefuse</t>
  </si>
  <si>
    <t>Texas Instruments</t>
  </si>
  <si>
    <t>TE Connectivity</t>
  </si>
  <si>
    <t>KOA Speer</t>
  </si>
  <si>
    <t>YAGEO</t>
  </si>
  <si>
    <t>Panasonic</t>
  </si>
  <si>
    <t>ON Semiconductor</t>
  </si>
  <si>
    <t>Nexperia</t>
  </si>
  <si>
    <t>SAMTEC</t>
  </si>
  <si>
    <t>Manufacturer Part Number</t>
  </si>
  <si>
    <t>GRM21BR6YA106KE43L</t>
  </si>
  <si>
    <t>C0603X104K5RAC7411</t>
  </si>
  <si>
    <t>C0603C474K4RAC</t>
  </si>
  <si>
    <t>GRM31CR60J107KE39K</t>
  </si>
  <si>
    <t>885012206048</t>
  </si>
  <si>
    <t>885342008009</t>
  </si>
  <si>
    <t>BZX84C15</t>
  </si>
  <si>
    <t>SMBJ30A</t>
  </si>
  <si>
    <t>150060RS86000</t>
  </si>
  <si>
    <t>150060BS84000</t>
  </si>
  <si>
    <t>0154005.DR</t>
  </si>
  <si>
    <t>SN74AC11PWR</t>
  </si>
  <si>
    <t>1-776231-1</t>
  </si>
  <si>
    <t>742792040</t>
  </si>
  <si>
    <t>RK73B1JTTD473J</t>
  </si>
  <si>
    <t>RK73B1JTTD472J</t>
  </si>
  <si>
    <t>RK73B1JTTD152J</t>
  </si>
  <si>
    <t>RK73B1JTTD104J</t>
  </si>
  <si>
    <t>RK73B1JTTDD221J</t>
  </si>
  <si>
    <t>RC0603JR-070RL</t>
  </si>
  <si>
    <t>RK73B1JTTD103J</t>
  </si>
  <si>
    <t>ERA-3ARB1911V</t>
  </si>
  <si>
    <t>ATP108-TL-H</t>
  </si>
  <si>
    <t>171050601</t>
  </si>
  <si>
    <t>DS26LV32ATM/NOPB</t>
  </si>
  <si>
    <t>DS26C31TMX/NOPB</t>
  </si>
  <si>
    <t>SN74LVCH16T245DGGR</t>
  </si>
  <si>
    <t>74AHC1G14GW,125</t>
  </si>
  <si>
    <t>IPL1-103-01-L-D-K</t>
  </si>
  <si>
    <t>HTEC8-150-01-L-DV-K</t>
  </si>
  <si>
    <t>Value</t>
  </si>
  <si>
    <t>10 µF</t>
  </si>
  <si>
    <t>0.1 µF</t>
  </si>
  <si>
    <t>470 nF</t>
  </si>
  <si>
    <t>100 µF</t>
  </si>
  <si>
    <t>220 nF</t>
  </si>
  <si>
    <t>100 pF</t>
  </si>
  <si>
    <t>14.7 V</t>
  </si>
  <si>
    <t>30V</t>
  </si>
  <si>
    <t>5 A</t>
  </si>
  <si>
    <t>600 Ohm</t>
  </si>
  <si>
    <t>47k</t>
  </si>
  <si>
    <t>4k7</t>
  </si>
  <si>
    <t>1k5</t>
  </si>
  <si>
    <t>100k</t>
  </si>
  <si>
    <t>220R</t>
  </si>
  <si>
    <t>0R</t>
  </si>
  <si>
    <t>10k</t>
  </si>
  <si>
    <t>1k91</t>
  </si>
  <si>
    <t>40 V</t>
  </si>
  <si>
    <t>30 W</t>
  </si>
  <si>
    <t>1.65 - 5.5 V</t>
  </si>
  <si>
    <t>5.5 V</t>
  </si>
  <si>
    <t>Description</t>
  </si>
  <si>
    <t>Capacitor 0805, 35 VDC, 10 µF, X5R</t>
  </si>
  <si>
    <t>Capacitor 0603, 50 VDC, 0.1 µF, X7R</t>
  </si>
  <si>
    <t>Capacitor 0603, 16 VDC, 470 nF, X5R</t>
  </si>
  <si>
    <t>Capacitor 1206, 6.3 VDC, 100 µF, X5R</t>
  </si>
  <si>
    <t>Capacitor 0603, 16 VDC, 220 nF, X7R</t>
  </si>
  <si>
    <t>Capacitor 1206, 1 kVDC, 100 pF, C0G</t>
  </si>
  <si>
    <t>Zener Diode, 15 V, 0.35 W</t>
  </si>
  <si>
    <t>TVS Diode 30V 600W SMB unidirectional / ESD suppressor</t>
  </si>
  <si>
    <t>WL-SMCW SMD Mono-color Chip LED Waterclear Red</t>
  </si>
  <si>
    <t>WL-SMCW SMD Mono-color Chip LED Waterclear Blue</t>
  </si>
  <si>
    <t>Fuse OMNI BLOK 154</t>
  </si>
  <si>
    <t>Triple 3-Input, Positive, AND-Gate</t>
  </si>
  <si>
    <t>Header Assembly, 35 Pos, vertical</t>
  </si>
  <si>
    <t>Inductance, 0805, 100 MHz, 600 Ohm, 2 A</t>
  </si>
  <si>
    <t>SMD resistor E24 series</t>
  </si>
  <si>
    <t>SMD resistor 1%</t>
  </si>
  <si>
    <t>P-Channel Power MOSFET, 1 CH, 40 V, 70 A, 10.4 mOhm</t>
  </si>
  <si>
    <t>Not isolated DCDC Converter 0.8 - 6 V Output, 5 A, 6 - 36 V Input</t>
  </si>
  <si>
    <t>3V Enhanced CMOS Quad Differential Line Receiver, 16-pin Narrow SOIC, Pb-Free</t>
  </si>
  <si>
    <t>CMOS Quad Tri-State Differential Line Drivers, 16-pin Narrow SOIC, Pb-Free</t>
  </si>
  <si>
    <t>16-Bit Dual supply Bus Transceiver with configurable Level Shifter and Tri State Output</t>
  </si>
  <si>
    <t>Inverting Schmitt trigger</t>
  </si>
  <si>
    <t>2.54 mm Double Row Terminal Assembly</t>
  </si>
  <si>
    <t>HTEC8-150-01-L-DV-K mating connector for card layout</t>
  </si>
  <si>
    <t>Device Package</t>
  </si>
  <si>
    <t>0805</t>
  </si>
  <si>
    <t>0603</t>
  </si>
  <si>
    <t>1206</t>
  </si>
  <si>
    <t>SOT-23-3</t>
  </si>
  <si>
    <t>DO-214AA-2</t>
  </si>
  <si>
    <t>OMNI-BLOK</t>
  </si>
  <si>
    <t>TSSOP-14</t>
  </si>
  <si>
    <t>Connector</t>
  </si>
  <si>
    <t>ATPAK-3</t>
  </si>
  <si>
    <t>TO-263-EP-7</t>
  </si>
  <si>
    <t>SOIC</t>
  </si>
  <si>
    <t>TSSOP-48</t>
  </si>
  <si>
    <t>TSSOP-5</t>
  </si>
  <si>
    <t>SMD</t>
  </si>
  <si>
    <t>Supplier 1</t>
  </si>
  <si>
    <t>Mouser</t>
  </si>
  <si>
    <t>Farnell</t>
  </si>
  <si>
    <t>Digi-Key</t>
  </si>
  <si>
    <t>Supplier Part Number 1</t>
  </si>
  <si>
    <t>81-GRM21BR6YA106KE3L</t>
  </si>
  <si>
    <t>80-C0603X104K5R7411</t>
  </si>
  <si>
    <t>80-C0603C474K4RAC</t>
  </si>
  <si>
    <t>81-GRM31CR60J107KE9K</t>
  </si>
  <si>
    <t>2507331</t>
  </si>
  <si>
    <t>710-885342008009</t>
  </si>
  <si>
    <t>512-BZX84C15</t>
  </si>
  <si>
    <t>512-SMBJ30A</t>
  </si>
  <si>
    <t>710-150060RS86000</t>
  </si>
  <si>
    <t>710-150060BS84000</t>
  </si>
  <si>
    <t>576-0154005.DR</t>
  </si>
  <si>
    <t>595-SN74AC11PWR</t>
  </si>
  <si>
    <t>710-742792040</t>
  </si>
  <si>
    <t>660-RK73B1JTTD473J</t>
  </si>
  <si>
    <t>660-RK73B1JTTD472J</t>
  </si>
  <si>
    <t>660-RK73B1JTTD152J</t>
  </si>
  <si>
    <t>660-RK73B1JTTD104J</t>
  </si>
  <si>
    <t>660-RK73B1JTTDD221J</t>
  </si>
  <si>
    <t>603-RC0603JR-070RL</t>
  </si>
  <si>
    <t>660-RK73B1JTTD103J</t>
  </si>
  <si>
    <t>667-ERA-3ARB1911V</t>
  </si>
  <si>
    <t>863-ATP108-TL-H</t>
  </si>
  <si>
    <t>710-171050601</t>
  </si>
  <si>
    <t>926-DS26LV32ATM/NOPB</t>
  </si>
  <si>
    <t>DS26C31TMX/NOPBCT-ND</t>
  </si>
  <si>
    <t>595-SN74LVCH16T245GR</t>
  </si>
  <si>
    <t>771-74AHC1G14GW-G</t>
  </si>
  <si>
    <t>Supplier 2</t>
  </si>
  <si>
    <t>LCSC</t>
  </si>
  <si>
    <t>RSComponents</t>
  </si>
  <si>
    <t>Supplier Part Number 2</t>
  </si>
  <si>
    <t>C14663</t>
  </si>
  <si>
    <t>3408608</t>
  </si>
  <si>
    <t>3408611</t>
  </si>
  <si>
    <t>718-1478</t>
  </si>
  <si>
    <t>C21189</t>
  </si>
  <si>
    <t>926-DS26LV32ATMXNOPB</t>
  </si>
  <si>
    <t>926-DS26C31TMX/NOPB</t>
  </si>
  <si>
    <t>C352975</t>
  </si>
  <si>
    <t>C282410</t>
  </si>
  <si>
    <t>SAM9097-ND</t>
  </si>
  <si>
    <t>E:\10_Altium\uz_ext_d_interface\UltraZohm_Interfaceplatine.PrjPcb</t>
  </si>
  <si>
    <t>04.03.2022 14:21</t>
  </si>
  <si>
    <t>Bill of Materials</t>
  </si>
  <si>
    <t>BOM_PartType</t>
  </si>
  <si>
    <t>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</si>
</sst>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:ss;@"/>
  </numFmts>
  <fonts count="1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indexed="13"/>
      <name val="Arial"/>
      <family val="2"/>
    </font>
    <font>
      <sz val="10"/>
      <color indexed="13"/>
      <name val="Arial"/>
      <family val="2"/>
    </font>
    <font>
      <b/>
      <sz val="12"/>
      <color indexed="13"/>
      <name val="Arial"/>
      <family val="2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10"/>
      <name val="Arial"/>
      <family val="2"/>
      <charset val="204"/>
    </font>
    <font>
      <b/>
      <sz val="10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53A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2"/>
      </top>
      <bottom/>
      <diagonal/>
    </border>
    <border>
      <left/>
      <right style="medium">
        <color indexed="64"/>
      </right>
      <top style="medium">
        <color indexed="62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5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1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vertical="top"/>
      <protection locked="0"/>
    </xf>
    <xf numFmtId="0" fontId="1" fillId="0" borderId="2" xfId="0" applyNumberFormat="1" applyFont="1" applyFill="1" applyBorder="1" applyAlignment="1" applyProtection="1">
      <alignment horizontal="left" vertical="top"/>
      <protection locked="0"/>
    </xf>
    <xf numFmtId="0" fontId="1" fillId="0" borderId="3" xfId="0" applyNumberFormat="1" applyFont="1" applyFill="1" applyBorder="1" applyAlignment="1" applyProtection="1">
      <alignment horizontal="left" vertical="top"/>
      <protection locked="0"/>
    </xf>
    <xf numFmtId="0" fontId="1" fillId="0" borderId="4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vertical="top"/>
      <protection locked="0"/>
    </xf>
    <xf numFmtId="0" fontId="1" fillId="0" borderId="6" xfId="0" applyNumberFormat="1" applyFont="1" applyFill="1" applyBorder="1" applyAlignment="1" applyProtection="1">
      <alignment vertical="top"/>
      <protection locked="0"/>
    </xf>
    <xf numFmtId="0" fontId="1" fillId="0" borderId="7" xfId="0" applyNumberFormat="1" applyFont="1" applyFill="1" applyBorder="1" applyAlignment="1" applyProtection="1">
      <alignment vertical="top"/>
      <protection locked="0"/>
    </xf>
    <xf numFmtId="0" fontId="1" fillId="0" borderId="8" xfId="0" applyNumberFormat="1" applyFont="1" applyFill="1" applyBorder="1" applyAlignment="1" applyProtection="1">
      <alignment vertical="top"/>
      <protection locked="0"/>
    </xf>
    <xf numFmtId="0" fontId="0" fillId="0" borderId="9" xfId="0" applyBorder="1" applyAlignment="1">
      <alignment vertical="top"/>
    </xf>
    <xf numFmtId="0" fontId="8" fillId="3" borderId="0" xfId="0" applyFont="1" applyFill="1" applyBorder="1" applyAlignment="1"/>
    <xf numFmtId="0" fontId="9" fillId="3" borderId="0" xfId="0" applyFont="1" applyFill="1" applyBorder="1" applyAlignment="1">
      <alignment horizontal="left"/>
    </xf>
    <xf numFmtId="0" fontId="9" fillId="3" borderId="0" xfId="0" applyFont="1" applyFill="1" applyBorder="1" applyAlignment="1"/>
    <xf numFmtId="0" fontId="9" fillId="3" borderId="7" xfId="0" applyFont="1" applyFill="1" applyBorder="1" applyAlignment="1"/>
    <xf numFmtId="0" fontId="9" fillId="3" borderId="10" xfId="0" applyFont="1" applyFill="1" applyBorder="1" applyAlignment="1"/>
    <xf numFmtId="0" fontId="8" fillId="3" borderId="11" xfId="0" applyFont="1" applyFill="1" applyBorder="1" applyAlignment="1">
      <alignment horizontal="left"/>
    </xf>
    <xf numFmtId="0" fontId="9" fillId="3" borderId="11" xfId="0" applyFont="1" applyFill="1" applyBorder="1" applyAlignment="1"/>
    <xf numFmtId="0" fontId="8" fillId="3" borderId="11" xfId="0" applyFont="1" applyFill="1" applyBorder="1" applyAlignment="1"/>
    <xf numFmtId="0" fontId="9" fillId="3" borderId="11" xfId="0" applyFont="1" applyFill="1" applyBorder="1" applyAlignment="1">
      <alignment horizontal="left"/>
    </xf>
    <xf numFmtId="0" fontId="8" fillId="3" borderId="7" xfId="0" applyFont="1" applyFill="1" applyBorder="1" applyAlignment="1"/>
    <xf numFmtId="0" fontId="10" fillId="3" borderId="0" xfId="0" applyFont="1" applyFill="1" applyBorder="1" applyAlignment="1"/>
    <xf numFmtId="0" fontId="11" fillId="3" borderId="12" xfId="0" applyFont="1" applyFill="1" applyBorder="1" applyAlignment="1">
      <alignment vertical="center"/>
    </xf>
    <xf numFmtId="0" fontId="11" fillId="3" borderId="13" xfId="0" applyFont="1" applyFill="1" applyBorder="1" applyAlignment="1">
      <alignment vertical="center"/>
    </xf>
    <xf numFmtId="0" fontId="12" fillId="2" borderId="0" xfId="0" applyFont="1" applyFill="1" applyBorder="1" applyAlignment="1">
      <alignment horizontal="left" vertical="center"/>
    </xf>
    <xf numFmtId="0" fontId="12" fillId="4" borderId="0" xfId="0" applyFont="1" applyFill="1" applyBorder="1" applyAlignment="1">
      <alignment horizontal="left" vertical="center"/>
    </xf>
    <xf numFmtId="0" fontId="1" fillId="0" borderId="15" xfId="0" applyNumberFormat="1" applyFont="1" applyFill="1" applyBorder="1" applyAlignment="1" applyProtection="1">
      <alignment vertical="top"/>
      <protection locked="0"/>
    </xf>
    <xf numFmtId="0" fontId="1" fillId="0" borderId="16" xfId="0" applyNumberFormat="1" applyFont="1" applyFill="1" applyBorder="1" applyAlignment="1" applyProtection="1">
      <alignment horizontal="left" vertical="top"/>
      <protection locked="0"/>
    </xf>
    <xf numFmtId="0" fontId="1" fillId="0" borderId="10" xfId="0" applyNumberFormat="1" applyFont="1" applyFill="1" applyBorder="1" applyAlignment="1" applyProtection="1">
      <alignment horizontal="left" vertical="top"/>
      <protection locked="0"/>
    </xf>
    <xf numFmtId="0" fontId="15" fillId="0" borderId="11" xfId="0" applyNumberFormat="1" applyFont="1" applyFill="1" applyBorder="1" applyAlignment="1" applyProtection="1">
      <alignment horizontal="left" vertical="top"/>
      <protection locked="0"/>
    </xf>
    <xf numFmtId="0" fontId="5" fillId="5" borderId="0" xfId="0" applyFont="1" applyFill="1" applyBorder="1" applyAlignment="1"/>
    <xf numFmtId="0" fontId="5" fillId="5" borderId="7" xfId="0" applyFont="1" applyFill="1" applyBorder="1" applyAlignment="1"/>
    <xf numFmtId="0" fontId="5" fillId="5" borderId="17" xfId="0" applyFont="1" applyFill="1" applyBorder="1" applyAlignment="1"/>
    <xf numFmtId="0" fontId="5" fillId="5" borderId="1" xfId="0" applyFont="1" applyFill="1" applyBorder="1" applyAlignment="1"/>
    <xf numFmtId="0" fontId="5" fillId="5" borderId="6" xfId="0" applyFont="1" applyFill="1" applyBorder="1" applyAlignment="1"/>
    <xf numFmtId="0" fontId="6" fillId="5" borderId="5" xfId="0" applyFont="1" applyFill="1" applyBorder="1" applyAlignment="1">
      <alignment vertical="center"/>
    </xf>
    <xf numFmtId="0" fontId="5" fillId="5" borderId="8" xfId="0" applyFont="1" applyFill="1" applyBorder="1" applyAlignment="1"/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164" fontId="9" fillId="3" borderId="11" xfId="0" applyNumberFormat="1" applyFont="1" applyFill="1" applyBorder="1" applyAlignment="1">
      <alignment horizontal="left"/>
    </xf>
    <xf numFmtId="14" fontId="9" fillId="3" borderId="11" xfId="0" applyNumberFormat="1" applyFont="1" applyFill="1" applyBorder="1" applyAlignment="1">
      <alignment horizontal="left"/>
    </xf>
    <xf numFmtId="0" fontId="7" fillId="6" borderId="21" xfId="0" applyFont="1" applyFill="1" applyBorder="1" applyAlignment="1">
      <alignment vertical="top" wrapText="1"/>
    </xf>
    <xf numFmtId="0" fontId="7" fillId="7" borderId="22" xfId="0" applyFont="1" applyFill="1" applyBorder="1" applyAlignment="1">
      <alignment vertical="top" wrapText="1"/>
    </xf>
    <xf numFmtId="0" fontId="4" fillId="5" borderId="10" xfId="0" applyFont="1" applyFill="1" applyBorder="1" applyAlignment="1">
      <alignment horizontal="center" vertical="center"/>
    </xf>
    <xf numFmtId="0" fontId="2" fillId="0" borderId="10" xfId="0" applyNumberFormat="1" applyFont="1" applyFill="1" applyBorder="1" applyAlignment="1" applyProtection="1">
      <alignment vertical="top"/>
      <protection locked="0"/>
    </xf>
    <xf numFmtId="0" fontId="14" fillId="3" borderId="23" xfId="0" applyFont="1" applyFill="1" applyBorder="1" applyAlignment="1">
      <alignment vertical="top" wrapText="1"/>
    </xf>
    <xf numFmtId="0" fontId="0" fillId="0" borderId="10" xfId="0" applyBorder="1" applyAlignment="1">
      <alignment vertical="top"/>
    </xf>
    <xf numFmtId="0" fontId="2" fillId="0" borderId="18" xfId="0" applyNumberFormat="1" applyFont="1" applyFill="1" applyBorder="1" applyAlignment="1" applyProtection="1">
      <alignment vertical="top"/>
      <protection locked="0"/>
    </xf>
    <xf numFmtId="49" fontId="7" fillId="6" borderId="24" xfId="0" applyNumberFormat="1" applyFont="1" applyFill="1" applyBorder="1" applyAlignment="1">
      <alignment vertical="top" wrapText="1"/>
    </xf>
    <xf numFmtId="49" fontId="7" fillId="6" borderId="25" xfId="0" applyNumberFormat="1" applyFont="1" applyFill="1" applyBorder="1" applyAlignment="1">
      <alignment vertical="top" wrapText="1"/>
    </xf>
    <xf numFmtId="49" fontId="7" fillId="6" borderId="26" xfId="0" applyNumberFormat="1" applyFont="1" applyFill="1" applyBorder="1" applyAlignment="1">
      <alignment vertical="top" wrapText="1"/>
    </xf>
    <xf numFmtId="49" fontId="7" fillId="6" borderId="27" xfId="0" applyNumberFormat="1" applyFont="1" applyFill="1" applyBorder="1" applyAlignment="1">
      <alignment horizontal="right" vertical="top" wrapText="1"/>
    </xf>
    <xf numFmtId="49" fontId="7" fillId="7" borderId="28" xfId="0" applyNumberFormat="1" applyFont="1" applyFill="1" applyBorder="1" applyAlignment="1">
      <alignment vertical="top" wrapText="1"/>
    </xf>
    <xf numFmtId="49" fontId="7" fillId="7" borderId="29" xfId="0" applyNumberFormat="1" applyFont="1" applyFill="1" applyBorder="1" applyAlignment="1">
      <alignment vertical="top" wrapText="1"/>
    </xf>
    <xf numFmtId="49" fontId="7" fillId="7" borderId="30" xfId="0" applyNumberFormat="1" applyFont="1" applyFill="1" applyBorder="1" applyAlignment="1">
      <alignment vertical="top" wrapText="1"/>
    </xf>
    <xf numFmtId="49" fontId="7" fillId="6" borderId="3" xfId="0" applyNumberFormat="1" applyFont="1" applyFill="1" applyBorder="1" applyAlignment="1">
      <alignment vertical="top" wrapText="1"/>
    </xf>
    <xf numFmtId="49" fontId="7" fillId="7" borderId="31" xfId="0" applyNumberFormat="1" applyFont="1" applyFill="1" applyBorder="1" applyAlignment="1">
      <alignment vertical="top" wrapText="1"/>
    </xf>
    <xf numFmtId="0" fontId="6" fillId="5" borderId="5" xfId="0" quotePrefix="1" applyFont="1" applyFill="1" applyBorder="1" applyAlignment="1">
      <alignment vertical="center"/>
    </xf>
    <xf numFmtId="0" fontId="8" fillId="3" borderId="0" xfId="0" quotePrefix="1" applyFont="1" applyFill="1" applyBorder="1" applyAlignment="1">
      <alignment horizontal="left"/>
    </xf>
    <xf numFmtId="0" fontId="8" fillId="3" borderId="10" xfId="0" quotePrefix="1" applyFont="1" applyFill="1" applyBorder="1" applyAlignment="1">
      <alignment horizontal="left"/>
    </xf>
    <xf numFmtId="0" fontId="8" fillId="3" borderId="11" xfId="0" quotePrefix="1" applyFont="1" applyFill="1" applyBorder="1" applyAlignment="1">
      <alignment horizontal="left"/>
    </xf>
    <xf numFmtId="0" fontId="9" fillId="3" borderId="1" xfId="0" quotePrefix="1" applyFont="1" applyFill="1" applyBorder="1" applyAlignment="1">
      <alignment horizontal="left"/>
    </xf>
    <xf numFmtId="0" fontId="2" fillId="0" borderId="16" xfId="0" quotePrefix="1" applyNumberFormat="1" applyFont="1" applyFill="1" applyBorder="1" applyAlignment="1" applyProtection="1">
      <alignment vertical="top"/>
      <protection locked="0"/>
    </xf>
    <xf numFmtId="0" fontId="13" fillId="4" borderId="14" xfId="0" quotePrefix="1" applyFont="1" applyFill="1" applyBorder="1" applyAlignment="1">
      <alignment horizontal="left" vertical="center"/>
    </xf>
    <xf numFmtId="0" fontId="13" fillId="2" borderId="0" xfId="0" quotePrefix="1" applyFont="1" applyFill="1" applyBorder="1" applyAlignment="1">
      <alignment horizontal="left" vertical="center"/>
    </xf>
    <xf numFmtId="0" fontId="13" fillId="4" borderId="0" xfId="0" quotePrefix="1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510540</xdr:colOff>
      <xdr:row>2</xdr:row>
      <xdr:rowOff>99060</xdr:rowOff>
    </xdr:from>
    <xdr:to>
      <xdr:col>11</xdr:col>
      <xdr:colOff>220980</xdr:colOff>
      <xdr:row>5</xdr:row>
      <xdr:rowOff>60960</xdr:rowOff>
    </xdr:to>
    <xdr:pic>
      <xdr:nvPicPr>
        <xdr:cNvPr id="1039" name="Grafik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746760"/>
          <a:ext cx="5036820" cy="678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O48"/>
  <sheetViews>
    <sheetView showGridLines="0" tabSelected="1" zoomScaleNormal="100" workbookViewId="0">
      <selection activeCell="L26" sqref="L26"/>
    </sheetView>
  </sheetViews>
  <sheetFormatPr baseColWidth="10" defaultColWidth="9.109375" defaultRowHeight="13.2" x14ac:dyDescent="0.25"/>
  <cols>
    <col min="1" max="1" width="3.109375" style="1" customWidth="1"/>
    <col min="2" max="2" width="5.44140625" style="1" customWidth="1"/>
    <col min="3" max="3" width="7.33203125" style="1" customWidth="1"/>
    <col min="4" max="4" width="20.44140625" style="4" customWidth="1"/>
    <col min="5" max="5" width="23.33203125" style="4" customWidth="1"/>
    <col min="6" max="6" width="18.109375" style="4" customWidth="1"/>
    <col min="7" max="7" width="20" style="4" customWidth="1"/>
    <col min="8" max="8" width="19" style="1" customWidth="1"/>
    <col min="9" max="9" width="12.44140625" style="1" customWidth="1"/>
    <col min="10" max="13" width="13.109375" style="1" customWidth="1"/>
    <col min="14" max="14" width="17.88671875" style="1" customWidth="1"/>
    <col min="15" max="15" width="10" style="1" customWidth="1"/>
    <col min="16" max="16384" width="9.109375" style="1"/>
  </cols>
  <sheetData>
    <row r="1" spans="1:15" ht="13.8" thickBot="1" x14ac:dyDescent="0.3">
      <c r="A1" s="37"/>
      <c r="B1" s="37"/>
      <c r="C1" s="37"/>
      <c r="D1" s="39"/>
      <c r="E1" s="39"/>
      <c r="F1" s="40"/>
      <c r="G1" s="40"/>
      <c r="H1" s="40"/>
      <c r="I1" s="40"/>
      <c r="J1" s="40"/>
      <c r="K1" s="40"/>
      <c r="L1" s="40"/>
      <c r="M1" s="40"/>
      <c r="N1" s="41"/>
      <c r="O1" s="17"/>
    </row>
    <row r="2" spans="1:15" ht="37.5" customHeight="1" thickBot="1" x14ac:dyDescent="0.3">
      <c r="A2" s="38"/>
      <c r="B2" s="29"/>
      <c r="C2" s="29" t="s">
        <v>22</v>
      </c>
      <c r="E2" s="30"/>
      <c r="F2" s="65" t="s">
        <v>25</v>
      </c>
      <c r="G2" s="42"/>
      <c r="H2" s="42"/>
      <c r="I2" s="42"/>
      <c r="J2" s="42"/>
      <c r="K2" s="42"/>
      <c r="L2" s="42"/>
      <c r="M2" s="42"/>
      <c r="N2" s="43"/>
    </row>
    <row r="3" spans="1:15" ht="23.25" customHeight="1" x14ac:dyDescent="0.25">
      <c r="A3" s="38"/>
      <c r="B3" s="18"/>
      <c r="C3" s="18" t="s">
        <v>14</v>
      </c>
      <c r="E3" s="66" t="s">
        <v>26</v>
      </c>
      <c r="F3" s="18"/>
      <c r="G3" s="19"/>
      <c r="I3" s="18"/>
      <c r="J3" s="18"/>
      <c r="K3" s="18"/>
      <c r="L3" s="18"/>
      <c r="M3" s="18"/>
      <c r="N3" s="21"/>
    </row>
    <row r="4" spans="1:15" ht="17.25" customHeight="1" x14ac:dyDescent="0.25">
      <c r="A4" s="38"/>
      <c r="B4" s="18"/>
      <c r="C4" s="18" t="s">
        <v>15</v>
      </c>
      <c r="E4" s="67" t="s">
        <v>26</v>
      </c>
      <c r="F4" s="22"/>
      <c r="G4" s="19"/>
      <c r="I4" s="20"/>
      <c r="J4" s="20"/>
      <c r="K4" s="20"/>
      <c r="L4" s="20"/>
      <c r="M4" s="20"/>
      <c r="N4" s="21"/>
    </row>
    <row r="5" spans="1:15" ht="17.25" customHeight="1" x14ac:dyDescent="0.25">
      <c r="A5" s="38"/>
      <c r="B5" s="18"/>
      <c r="C5" s="18" t="s">
        <v>16</v>
      </c>
      <c r="E5" s="68" t="s">
        <v>27</v>
      </c>
      <c r="F5" s="24"/>
      <c r="G5" s="19"/>
      <c r="I5" s="20"/>
      <c r="J5" s="20"/>
      <c r="K5" s="20"/>
      <c r="L5" s="20"/>
      <c r="M5" s="20"/>
      <c r="N5" s="21"/>
    </row>
    <row r="6" spans="1:15" x14ac:dyDescent="0.25">
      <c r="A6" s="38"/>
      <c r="B6" s="25"/>
      <c r="C6" s="25"/>
      <c r="D6" s="25"/>
      <c r="E6" s="25"/>
      <c r="F6" s="25"/>
      <c r="G6" s="23"/>
      <c r="H6" s="26"/>
      <c r="I6" s="20"/>
      <c r="J6" s="20"/>
      <c r="K6" s="20"/>
      <c r="L6" s="20"/>
      <c r="M6" s="20"/>
      <c r="N6" s="27"/>
    </row>
    <row r="7" spans="1:15" ht="15.75" customHeight="1" x14ac:dyDescent="0.25">
      <c r="A7" s="38"/>
      <c r="B7" s="28"/>
      <c r="C7" s="28" t="s">
        <v>18</v>
      </c>
      <c r="D7" s="28"/>
      <c r="E7" s="28"/>
      <c r="F7" s="28"/>
      <c r="G7" s="69" t="s">
        <v>28</v>
      </c>
      <c r="H7" s="69" t="s">
        <v>29</v>
      </c>
      <c r="I7" s="28"/>
      <c r="J7" s="28"/>
      <c r="K7" s="28"/>
      <c r="L7" s="28"/>
      <c r="M7" s="28"/>
      <c r="N7" s="21"/>
    </row>
    <row r="8" spans="1:15" ht="15.75" customHeight="1" x14ac:dyDescent="0.25">
      <c r="A8" s="38"/>
      <c r="B8" s="24"/>
      <c r="C8" s="24" t="s">
        <v>17</v>
      </c>
      <c r="E8" s="24"/>
      <c r="F8" s="24"/>
      <c r="G8" s="48">
        <f ca="1">TODAY()</f>
        <v>44624</v>
      </c>
      <c r="H8" s="47">
        <f ca="1">NOW()</f>
        <v>44624.598589699075</v>
      </c>
      <c r="I8" s="28"/>
      <c r="J8" s="28"/>
      <c r="K8" s="28"/>
      <c r="L8" s="28"/>
      <c r="M8" s="28"/>
      <c r="N8" s="21"/>
    </row>
    <row r="9" spans="1:15" s="2" customFormat="1" ht="18" customHeight="1" x14ac:dyDescent="0.25">
      <c r="A9" s="38"/>
      <c r="B9" s="44" t="s">
        <v>20</v>
      </c>
      <c r="C9" s="51" t="s">
        <v>31</v>
      </c>
      <c r="D9" s="45" t="s">
        <v>32</v>
      </c>
      <c r="E9" s="45" t="s">
        <v>63</v>
      </c>
      <c r="F9" s="45" t="s">
        <v>80</v>
      </c>
      <c r="G9" s="45" t="s">
        <v>111</v>
      </c>
      <c r="H9" s="45" t="s">
        <v>134</v>
      </c>
      <c r="I9" s="45" t="s">
        <v>159</v>
      </c>
      <c r="J9" s="45" t="s">
        <v>174</v>
      </c>
      <c r="K9" s="45" t="s">
        <v>178</v>
      </c>
      <c r="L9" s="45" t="s">
        <v>206</v>
      </c>
      <c r="M9" s="45" t="s">
        <v>209</v>
      </c>
      <c r="N9" s="46" t="s">
        <v>24</v>
      </c>
    </row>
    <row r="10" spans="1:15" s="3" customFormat="1" ht="13.5" customHeight="1" x14ac:dyDescent="0.25">
      <c r="A10" s="38"/>
      <c r="B10" s="49">
        <f>ROW(B10) - ROW($B$9)</f>
        <v>1</v>
      </c>
      <c r="C10" s="63">
        <v>9</v>
      </c>
      <c r="D10" s="56" t="s">
        <v>33</v>
      </c>
      <c r="E10" s="56" t="s">
        <v>64</v>
      </c>
      <c r="F10" s="56" t="s">
        <v>81</v>
      </c>
      <c r="G10" s="57" t="s">
        <v>112</v>
      </c>
      <c r="H10" s="57" t="s">
        <v>135</v>
      </c>
      <c r="I10" s="57" t="s">
        <v>160</v>
      </c>
      <c r="J10" s="58" t="s">
        <v>175</v>
      </c>
      <c r="K10" s="58" t="s">
        <v>179</v>
      </c>
      <c r="L10" s="58"/>
      <c r="M10" s="58"/>
      <c r="N10" s="59"/>
    </row>
    <row r="11" spans="1:15" s="3" customFormat="1" ht="13.5" customHeight="1" x14ac:dyDescent="0.25">
      <c r="A11" s="38"/>
      <c r="B11" s="50">
        <f>ROW(B11) - ROW($B$9)</f>
        <v>2</v>
      </c>
      <c r="C11" s="64">
        <v>19</v>
      </c>
      <c r="D11" s="60" t="s">
        <v>34</v>
      </c>
      <c r="E11" s="60" t="s">
        <v>65</v>
      </c>
      <c r="F11" s="60" t="s">
        <v>82</v>
      </c>
      <c r="G11" s="60" t="s">
        <v>113</v>
      </c>
      <c r="H11" s="60" t="s">
        <v>136</v>
      </c>
      <c r="I11" s="60" t="s">
        <v>161</v>
      </c>
      <c r="J11" s="61" t="s">
        <v>175</v>
      </c>
      <c r="K11" s="61" t="s">
        <v>180</v>
      </c>
      <c r="L11" s="61" t="s">
        <v>207</v>
      </c>
      <c r="M11" s="61" t="s">
        <v>210</v>
      </c>
      <c r="N11" s="62"/>
    </row>
    <row r="12" spans="1:15" s="3" customFormat="1" ht="13.5" customHeight="1" x14ac:dyDescent="0.25">
      <c r="A12" s="38"/>
      <c r="B12" s="49">
        <f>ROW(B12) - ROW($B$9)</f>
        <v>3</v>
      </c>
      <c r="C12" s="63">
        <v>2</v>
      </c>
      <c r="D12" s="56" t="s">
        <v>35</v>
      </c>
      <c r="E12" s="56" t="s">
        <v>65</v>
      </c>
      <c r="F12" s="56" t="s">
        <v>83</v>
      </c>
      <c r="G12" s="57" t="s">
        <v>114</v>
      </c>
      <c r="H12" s="57" t="s">
        <v>137</v>
      </c>
      <c r="I12" s="57" t="s">
        <v>161</v>
      </c>
      <c r="J12" s="58" t="s">
        <v>175</v>
      </c>
      <c r="K12" s="58" t="s">
        <v>181</v>
      </c>
      <c r="L12" s="58"/>
      <c r="M12" s="58"/>
      <c r="N12" s="59"/>
    </row>
    <row r="13" spans="1:15" s="3" customFormat="1" ht="13.5" customHeight="1" x14ac:dyDescent="0.25">
      <c r="A13" s="38"/>
      <c r="B13" s="50">
        <f>ROW(B13) - ROW($B$9)</f>
        <v>4</v>
      </c>
      <c r="C13" s="64">
        <v>6</v>
      </c>
      <c r="D13" s="60" t="s">
        <v>36</v>
      </c>
      <c r="E13" s="60" t="s">
        <v>66</v>
      </c>
      <c r="F13" s="60" t="s">
        <v>84</v>
      </c>
      <c r="G13" s="60" t="s">
        <v>115</v>
      </c>
      <c r="H13" s="60" t="s">
        <v>138</v>
      </c>
      <c r="I13" s="60" t="s">
        <v>162</v>
      </c>
      <c r="J13" s="61" t="s">
        <v>175</v>
      </c>
      <c r="K13" s="61" t="s">
        <v>182</v>
      </c>
      <c r="L13" s="61"/>
      <c r="M13" s="61"/>
      <c r="N13" s="62"/>
    </row>
    <row r="14" spans="1:15" s="3" customFormat="1" ht="13.5" customHeight="1" x14ac:dyDescent="0.25">
      <c r="A14" s="38"/>
      <c r="B14" s="49">
        <f>ROW(B14) - ROW($B$9)</f>
        <v>5</v>
      </c>
      <c r="C14" s="63">
        <v>2</v>
      </c>
      <c r="D14" s="56" t="s">
        <v>37</v>
      </c>
      <c r="E14" s="56" t="s">
        <v>67</v>
      </c>
      <c r="F14" s="56" t="s">
        <v>85</v>
      </c>
      <c r="G14" s="57" t="s">
        <v>116</v>
      </c>
      <c r="H14" s="57" t="s">
        <v>139</v>
      </c>
      <c r="I14" s="57" t="s">
        <v>161</v>
      </c>
      <c r="J14" s="58" t="s">
        <v>176</v>
      </c>
      <c r="K14" s="58" t="s">
        <v>183</v>
      </c>
      <c r="L14" s="58"/>
      <c r="M14" s="58"/>
      <c r="N14" s="59"/>
    </row>
    <row r="15" spans="1:15" s="3" customFormat="1" ht="13.5" customHeight="1" x14ac:dyDescent="0.25">
      <c r="A15" s="38"/>
      <c r="B15" s="50">
        <f>ROW(B15) - ROW($B$9)</f>
        <v>6</v>
      </c>
      <c r="C15" s="64">
        <v>2</v>
      </c>
      <c r="D15" s="60" t="s">
        <v>38</v>
      </c>
      <c r="E15" s="60" t="s">
        <v>68</v>
      </c>
      <c r="F15" s="60" t="s">
        <v>86</v>
      </c>
      <c r="G15" s="60" t="s">
        <v>117</v>
      </c>
      <c r="H15" s="60" t="s">
        <v>140</v>
      </c>
      <c r="I15" s="60" t="s">
        <v>162</v>
      </c>
      <c r="J15" s="61" t="s">
        <v>175</v>
      </c>
      <c r="K15" s="61" t="s">
        <v>184</v>
      </c>
      <c r="L15" s="61"/>
      <c r="M15" s="61"/>
      <c r="N15" s="62"/>
    </row>
    <row r="16" spans="1:15" s="3" customFormat="1" ht="13.5" customHeight="1" x14ac:dyDescent="0.25">
      <c r="A16" s="38"/>
      <c r="B16" s="49">
        <f>ROW(B16) - ROW($B$9)</f>
        <v>7</v>
      </c>
      <c r="C16" s="63">
        <v>1</v>
      </c>
      <c r="D16" s="56" t="s">
        <v>39</v>
      </c>
      <c r="E16" s="56" t="s">
        <v>69</v>
      </c>
      <c r="F16" s="56" t="s">
        <v>87</v>
      </c>
      <c r="G16" s="57" t="s">
        <v>118</v>
      </c>
      <c r="H16" s="57" t="s">
        <v>141</v>
      </c>
      <c r="I16" s="57" t="s">
        <v>163</v>
      </c>
      <c r="J16" s="58" t="s">
        <v>175</v>
      </c>
      <c r="K16" s="58" t="s">
        <v>185</v>
      </c>
      <c r="L16" s="58"/>
      <c r="M16" s="58"/>
      <c r="N16" s="59"/>
    </row>
    <row r="17" spans="1:14" s="3" customFormat="1" ht="13.5" customHeight="1" x14ac:dyDescent="0.25">
      <c r="A17" s="38"/>
      <c r="B17" s="50">
        <f>ROW(B17) - ROW($B$9)</f>
        <v>8</v>
      </c>
      <c r="C17" s="64">
        <v>1</v>
      </c>
      <c r="D17" s="60" t="s">
        <v>40</v>
      </c>
      <c r="E17" s="60" t="s">
        <v>70</v>
      </c>
      <c r="F17" s="60" t="s">
        <v>88</v>
      </c>
      <c r="G17" s="60" t="s">
        <v>119</v>
      </c>
      <c r="H17" s="60" t="s">
        <v>142</v>
      </c>
      <c r="I17" s="60" t="s">
        <v>164</v>
      </c>
      <c r="J17" s="61" t="s">
        <v>175</v>
      </c>
      <c r="K17" s="61" t="s">
        <v>186</v>
      </c>
      <c r="L17" s="61"/>
      <c r="M17" s="61"/>
      <c r="N17" s="62"/>
    </row>
    <row r="18" spans="1:14" s="3" customFormat="1" ht="13.5" customHeight="1" x14ac:dyDescent="0.25">
      <c r="A18" s="38"/>
      <c r="B18" s="49">
        <f>ROW(B18) - ROW($B$9)</f>
        <v>9</v>
      </c>
      <c r="C18" s="63">
        <v>1</v>
      </c>
      <c r="D18" s="56" t="s">
        <v>41</v>
      </c>
      <c r="E18" s="56" t="s">
        <v>68</v>
      </c>
      <c r="F18" s="56" t="s">
        <v>89</v>
      </c>
      <c r="G18" s="57"/>
      <c r="H18" s="57" t="s">
        <v>143</v>
      </c>
      <c r="I18" s="57" t="s">
        <v>161</v>
      </c>
      <c r="J18" s="58" t="s">
        <v>175</v>
      </c>
      <c r="K18" s="58" t="s">
        <v>187</v>
      </c>
      <c r="L18" s="58" t="s">
        <v>176</v>
      </c>
      <c r="M18" s="58" t="s">
        <v>211</v>
      </c>
      <c r="N18" s="59"/>
    </row>
    <row r="19" spans="1:14" s="3" customFormat="1" ht="13.5" customHeight="1" x14ac:dyDescent="0.25">
      <c r="A19" s="38"/>
      <c r="B19" s="50">
        <f>ROW(B19) - ROW($B$9)</f>
        <v>10</v>
      </c>
      <c r="C19" s="64">
        <v>1</v>
      </c>
      <c r="D19" s="60" t="s">
        <v>42</v>
      </c>
      <c r="E19" s="60" t="s">
        <v>68</v>
      </c>
      <c r="F19" s="60" t="s">
        <v>90</v>
      </c>
      <c r="G19" s="60"/>
      <c r="H19" s="60" t="s">
        <v>144</v>
      </c>
      <c r="I19" s="60" t="s">
        <v>161</v>
      </c>
      <c r="J19" s="61" t="s">
        <v>175</v>
      </c>
      <c r="K19" s="61" t="s">
        <v>188</v>
      </c>
      <c r="L19" s="61" t="s">
        <v>176</v>
      </c>
      <c r="M19" s="61" t="s">
        <v>212</v>
      </c>
      <c r="N19" s="62"/>
    </row>
    <row r="20" spans="1:14" s="3" customFormat="1" ht="13.5" customHeight="1" x14ac:dyDescent="0.25">
      <c r="A20" s="38"/>
      <c r="B20" s="49">
        <f>ROW(B20) - ROW($B$9)</f>
        <v>11</v>
      </c>
      <c r="C20" s="63">
        <v>1</v>
      </c>
      <c r="D20" s="56" t="s">
        <v>43</v>
      </c>
      <c r="E20" s="56" t="s">
        <v>71</v>
      </c>
      <c r="F20" s="56" t="s">
        <v>91</v>
      </c>
      <c r="G20" s="57" t="s">
        <v>120</v>
      </c>
      <c r="H20" s="57" t="s">
        <v>145</v>
      </c>
      <c r="I20" s="57" t="s">
        <v>165</v>
      </c>
      <c r="J20" s="58" t="s">
        <v>175</v>
      </c>
      <c r="K20" s="58" t="s">
        <v>189</v>
      </c>
      <c r="L20" s="58"/>
      <c r="M20" s="58"/>
      <c r="N20" s="59"/>
    </row>
    <row r="21" spans="1:14" s="3" customFormat="1" ht="13.5" customHeight="1" x14ac:dyDescent="0.25">
      <c r="A21" s="38"/>
      <c r="B21" s="50">
        <f>ROW(B21) - ROW($B$9)</f>
        <v>12</v>
      </c>
      <c r="C21" s="64">
        <v>3</v>
      </c>
      <c r="D21" s="60" t="s">
        <v>44</v>
      </c>
      <c r="E21" s="60" t="s">
        <v>72</v>
      </c>
      <c r="F21" s="60" t="s">
        <v>92</v>
      </c>
      <c r="G21" s="60"/>
      <c r="H21" s="60" t="s">
        <v>146</v>
      </c>
      <c r="I21" s="60" t="s">
        <v>166</v>
      </c>
      <c r="J21" s="61" t="s">
        <v>175</v>
      </c>
      <c r="K21" s="61" t="s">
        <v>190</v>
      </c>
      <c r="L21" s="61"/>
      <c r="M21" s="61"/>
      <c r="N21" s="62"/>
    </row>
    <row r="22" spans="1:14" s="3" customFormat="1" ht="13.5" customHeight="1" x14ac:dyDescent="0.25">
      <c r="A22" s="38"/>
      <c r="B22" s="49">
        <f>ROW(B22) - ROW($B$9)</f>
        <v>13</v>
      </c>
      <c r="C22" s="63">
        <v>1</v>
      </c>
      <c r="D22" s="56" t="s">
        <v>45</v>
      </c>
      <c r="E22" s="56" t="s">
        <v>73</v>
      </c>
      <c r="F22" s="56" t="s">
        <v>93</v>
      </c>
      <c r="G22" s="57"/>
      <c r="H22" s="57" t="s">
        <v>147</v>
      </c>
      <c r="I22" s="57" t="s">
        <v>167</v>
      </c>
      <c r="J22" s="58" t="s">
        <v>73</v>
      </c>
      <c r="K22" s="58" t="s">
        <v>93</v>
      </c>
      <c r="L22" s="58" t="s">
        <v>208</v>
      </c>
      <c r="M22" s="58" t="s">
        <v>213</v>
      </c>
      <c r="N22" s="59"/>
    </row>
    <row r="23" spans="1:14" s="3" customFormat="1" ht="13.5" customHeight="1" x14ac:dyDescent="0.25">
      <c r="A23" s="38"/>
      <c r="B23" s="50">
        <f>ROW(B23) - ROW($B$9)</f>
        <v>14</v>
      </c>
      <c r="C23" s="64">
        <v>2</v>
      </c>
      <c r="D23" s="60" t="s">
        <v>46</v>
      </c>
      <c r="E23" s="60" t="s">
        <v>67</v>
      </c>
      <c r="F23" s="60" t="s">
        <v>94</v>
      </c>
      <c r="G23" s="60" t="s">
        <v>121</v>
      </c>
      <c r="H23" s="60" t="s">
        <v>148</v>
      </c>
      <c r="I23" s="60" t="s">
        <v>160</v>
      </c>
      <c r="J23" s="61" t="s">
        <v>175</v>
      </c>
      <c r="K23" s="61" t="s">
        <v>191</v>
      </c>
      <c r="L23" s="61"/>
      <c r="M23" s="61"/>
      <c r="N23" s="62"/>
    </row>
    <row r="24" spans="1:14" s="3" customFormat="1" ht="13.5" customHeight="1" x14ac:dyDescent="0.25">
      <c r="A24" s="38"/>
      <c r="B24" s="49">
        <f>ROW(B24) - ROW($B$9)</f>
        <v>15</v>
      </c>
      <c r="C24" s="63">
        <v>5</v>
      </c>
      <c r="D24" s="56" t="s">
        <v>47</v>
      </c>
      <c r="E24" s="56" t="s">
        <v>74</v>
      </c>
      <c r="F24" s="56" t="s">
        <v>95</v>
      </c>
      <c r="G24" s="57" t="s">
        <v>122</v>
      </c>
      <c r="H24" s="57" t="s">
        <v>149</v>
      </c>
      <c r="I24" s="57" t="s">
        <v>161</v>
      </c>
      <c r="J24" s="58" t="s">
        <v>175</v>
      </c>
      <c r="K24" s="58" t="s">
        <v>192</v>
      </c>
      <c r="L24" s="58"/>
      <c r="M24" s="58"/>
      <c r="N24" s="59"/>
    </row>
    <row r="25" spans="1:14" s="3" customFormat="1" ht="13.5" customHeight="1" x14ac:dyDescent="0.25">
      <c r="A25" s="38"/>
      <c r="B25" s="50">
        <f>ROW(B25) - ROW($B$9)</f>
        <v>16</v>
      </c>
      <c r="C25" s="64">
        <v>1</v>
      </c>
      <c r="D25" s="60" t="s">
        <v>48</v>
      </c>
      <c r="E25" s="60" t="s">
        <v>74</v>
      </c>
      <c r="F25" s="60" t="s">
        <v>96</v>
      </c>
      <c r="G25" s="60" t="s">
        <v>123</v>
      </c>
      <c r="H25" s="60" t="s">
        <v>149</v>
      </c>
      <c r="I25" s="60" t="s">
        <v>161</v>
      </c>
      <c r="J25" s="61" t="s">
        <v>175</v>
      </c>
      <c r="K25" s="61" t="s">
        <v>193</v>
      </c>
      <c r="L25" s="61"/>
      <c r="M25" s="61"/>
      <c r="N25" s="62"/>
    </row>
    <row r="26" spans="1:14" s="3" customFormat="1" ht="13.5" customHeight="1" x14ac:dyDescent="0.25">
      <c r="A26" s="38"/>
      <c r="B26" s="49">
        <f>ROW(B26) - ROW($B$9)</f>
        <v>17</v>
      </c>
      <c r="C26" s="63">
        <v>1</v>
      </c>
      <c r="D26" s="56" t="s">
        <v>49</v>
      </c>
      <c r="E26" s="56" t="s">
        <v>74</v>
      </c>
      <c r="F26" s="56" t="s">
        <v>97</v>
      </c>
      <c r="G26" s="57" t="s">
        <v>124</v>
      </c>
      <c r="H26" s="57" t="s">
        <v>149</v>
      </c>
      <c r="I26" s="57" t="s">
        <v>161</v>
      </c>
      <c r="J26" s="58" t="s">
        <v>175</v>
      </c>
      <c r="K26" s="58" t="s">
        <v>194</v>
      </c>
      <c r="L26" s="58"/>
      <c r="M26" s="58"/>
      <c r="N26" s="59"/>
    </row>
    <row r="27" spans="1:14" s="3" customFormat="1" ht="13.5" customHeight="1" x14ac:dyDescent="0.25">
      <c r="A27" s="38"/>
      <c r="B27" s="50">
        <f>ROW(B27) - ROW($B$9)</f>
        <v>18</v>
      </c>
      <c r="C27" s="64">
        <v>1</v>
      </c>
      <c r="D27" s="60" t="s">
        <v>50</v>
      </c>
      <c r="E27" s="60" t="s">
        <v>74</v>
      </c>
      <c r="F27" s="60" t="s">
        <v>98</v>
      </c>
      <c r="G27" s="60" t="s">
        <v>125</v>
      </c>
      <c r="H27" s="60" t="s">
        <v>149</v>
      </c>
      <c r="I27" s="60" t="s">
        <v>161</v>
      </c>
      <c r="J27" s="61" t="s">
        <v>175</v>
      </c>
      <c r="K27" s="61" t="s">
        <v>195</v>
      </c>
      <c r="L27" s="61"/>
      <c r="M27" s="61"/>
      <c r="N27" s="62"/>
    </row>
    <row r="28" spans="1:14" s="3" customFormat="1" ht="13.5" customHeight="1" x14ac:dyDescent="0.25">
      <c r="A28" s="38"/>
      <c r="B28" s="49">
        <f>ROW(B28) - ROW($B$9)</f>
        <v>19</v>
      </c>
      <c r="C28" s="63">
        <v>2</v>
      </c>
      <c r="D28" s="56" t="s">
        <v>51</v>
      </c>
      <c r="E28" s="56" t="s">
        <v>74</v>
      </c>
      <c r="F28" s="56" t="s">
        <v>99</v>
      </c>
      <c r="G28" s="57" t="s">
        <v>126</v>
      </c>
      <c r="H28" s="57" t="s">
        <v>149</v>
      </c>
      <c r="I28" s="57" t="s">
        <v>161</v>
      </c>
      <c r="J28" s="58" t="s">
        <v>175</v>
      </c>
      <c r="K28" s="58" t="s">
        <v>196</v>
      </c>
      <c r="L28" s="58"/>
      <c r="M28" s="58"/>
      <c r="N28" s="59"/>
    </row>
    <row r="29" spans="1:14" s="3" customFormat="1" ht="13.5" customHeight="1" x14ac:dyDescent="0.25">
      <c r="A29" s="38"/>
      <c r="B29" s="50">
        <f>ROW(B29) - ROW($B$9)</f>
        <v>20</v>
      </c>
      <c r="C29" s="64">
        <v>5</v>
      </c>
      <c r="D29" s="60" t="s">
        <v>52</v>
      </c>
      <c r="E29" s="60" t="s">
        <v>75</v>
      </c>
      <c r="F29" s="60" t="s">
        <v>100</v>
      </c>
      <c r="G29" s="60" t="s">
        <v>127</v>
      </c>
      <c r="H29" s="60" t="s">
        <v>149</v>
      </c>
      <c r="I29" s="60" t="s">
        <v>161</v>
      </c>
      <c r="J29" s="61" t="s">
        <v>175</v>
      </c>
      <c r="K29" s="61" t="s">
        <v>197</v>
      </c>
      <c r="L29" s="61" t="s">
        <v>207</v>
      </c>
      <c r="M29" s="61" t="s">
        <v>214</v>
      </c>
      <c r="N29" s="62"/>
    </row>
    <row r="30" spans="1:14" s="3" customFormat="1" ht="13.5" customHeight="1" x14ac:dyDescent="0.25">
      <c r="A30" s="38"/>
      <c r="B30" s="49">
        <f>ROW(B30) - ROW($B$9)</f>
        <v>21</v>
      </c>
      <c r="C30" s="63">
        <v>9</v>
      </c>
      <c r="D30" s="56" t="s">
        <v>53</v>
      </c>
      <c r="E30" s="56" t="s">
        <v>74</v>
      </c>
      <c r="F30" s="56" t="s">
        <v>101</v>
      </c>
      <c r="G30" s="57" t="s">
        <v>128</v>
      </c>
      <c r="H30" s="57" t="s">
        <v>149</v>
      </c>
      <c r="I30" s="57" t="s">
        <v>161</v>
      </c>
      <c r="J30" s="58" t="s">
        <v>175</v>
      </c>
      <c r="K30" s="58" t="s">
        <v>198</v>
      </c>
      <c r="L30" s="58"/>
      <c r="M30" s="58"/>
      <c r="N30" s="59"/>
    </row>
    <row r="31" spans="1:14" s="3" customFormat="1" ht="13.5" customHeight="1" x14ac:dyDescent="0.25">
      <c r="A31" s="38"/>
      <c r="B31" s="50">
        <f>ROW(B31) - ROW($B$9)</f>
        <v>22</v>
      </c>
      <c r="C31" s="64">
        <v>1</v>
      </c>
      <c r="D31" s="60" t="s">
        <v>54</v>
      </c>
      <c r="E31" s="60" t="s">
        <v>76</v>
      </c>
      <c r="F31" s="60" t="s">
        <v>102</v>
      </c>
      <c r="G31" s="60" t="s">
        <v>129</v>
      </c>
      <c r="H31" s="60" t="s">
        <v>150</v>
      </c>
      <c r="I31" s="60" t="s">
        <v>161</v>
      </c>
      <c r="J31" s="61" t="s">
        <v>175</v>
      </c>
      <c r="K31" s="61" t="s">
        <v>199</v>
      </c>
      <c r="L31" s="61"/>
      <c r="M31" s="61"/>
      <c r="N31" s="62"/>
    </row>
    <row r="32" spans="1:14" s="3" customFormat="1" ht="13.5" customHeight="1" x14ac:dyDescent="0.25">
      <c r="A32" s="38"/>
      <c r="B32" s="49">
        <f>ROW(B32) - ROW($B$9)</f>
        <v>23</v>
      </c>
      <c r="C32" s="63">
        <v>2</v>
      </c>
      <c r="D32" s="56" t="s">
        <v>55</v>
      </c>
      <c r="E32" s="56" t="s">
        <v>77</v>
      </c>
      <c r="F32" s="56" t="s">
        <v>103</v>
      </c>
      <c r="G32" s="57" t="s">
        <v>130</v>
      </c>
      <c r="H32" s="57" t="s">
        <v>151</v>
      </c>
      <c r="I32" s="57" t="s">
        <v>168</v>
      </c>
      <c r="J32" s="58" t="s">
        <v>175</v>
      </c>
      <c r="K32" s="58" t="s">
        <v>200</v>
      </c>
      <c r="L32" s="58"/>
      <c r="M32" s="58"/>
      <c r="N32" s="59"/>
    </row>
    <row r="33" spans="1:14" s="3" customFormat="1" ht="13.5" customHeight="1" x14ac:dyDescent="0.25">
      <c r="A33" s="38"/>
      <c r="B33" s="50">
        <f>ROW(B33) - ROW($B$9)</f>
        <v>24</v>
      </c>
      <c r="C33" s="64">
        <v>2</v>
      </c>
      <c r="D33" s="60" t="s">
        <v>56</v>
      </c>
      <c r="E33" s="60" t="s">
        <v>68</v>
      </c>
      <c r="F33" s="60" t="s">
        <v>104</v>
      </c>
      <c r="G33" s="60" t="s">
        <v>131</v>
      </c>
      <c r="H33" s="60" t="s">
        <v>152</v>
      </c>
      <c r="I33" s="60" t="s">
        <v>169</v>
      </c>
      <c r="J33" s="61" t="s">
        <v>175</v>
      </c>
      <c r="K33" s="61" t="s">
        <v>201</v>
      </c>
      <c r="L33" s="61"/>
      <c r="M33" s="61"/>
      <c r="N33" s="62"/>
    </row>
    <row r="34" spans="1:14" s="3" customFormat="1" ht="13.5" customHeight="1" x14ac:dyDescent="0.25">
      <c r="A34" s="38"/>
      <c r="B34" s="49">
        <f>ROW(B34) - ROW($B$9)</f>
        <v>25</v>
      </c>
      <c r="C34" s="63">
        <v>2</v>
      </c>
      <c r="D34" s="56" t="s">
        <v>57</v>
      </c>
      <c r="E34" s="56" t="s">
        <v>72</v>
      </c>
      <c r="F34" s="56" t="s">
        <v>105</v>
      </c>
      <c r="G34" s="57"/>
      <c r="H34" s="57" t="s">
        <v>153</v>
      </c>
      <c r="I34" s="57" t="s">
        <v>170</v>
      </c>
      <c r="J34" s="58" t="s">
        <v>175</v>
      </c>
      <c r="K34" s="58" t="s">
        <v>202</v>
      </c>
      <c r="L34" s="58" t="s">
        <v>175</v>
      </c>
      <c r="M34" s="58" t="s">
        <v>215</v>
      </c>
      <c r="N34" s="59"/>
    </row>
    <row r="35" spans="1:14" s="3" customFormat="1" ht="13.5" customHeight="1" x14ac:dyDescent="0.25">
      <c r="A35" s="38"/>
      <c r="B35" s="50">
        <f>ROW(B35) - ROW($B$9)</f>
        <v>26</v>
      </c>
      <c r="C35" s="64">
        <v>3</v>
      </c>
      <c r="D35" s="60" t="s">
        <v>58</v>
      </c>
      <c r="E35" s="60" t="s">
        <v>72</v>
      </c>
      <c r="F35" s="60" t="s">
        <v>106</v>
      </c>
      <c r="G35" s="60"/>
      <c r="H35" s="60" t="s">
        <v>154</v>
      </c>
      <c r="I35" s="60" t="s">
        <v>170</v>
      </c>
      <c r="J35" s="61" t="s">
        <v>177</v>
      </c>
      <c r="K35" s="61" t="s">
        <v>203</v>
      </c>
      <c r="L35" s="61" t="s">
        <v>175</v>
      </c>
      <c r="M35" s="61" t="s">
        <v>216</v>
      </c>
      <c r="N35" s="62"/>
    </row>
    <row r="36" spans="1:14" s="3" customFormat="1" ht="13.5" customHeight="1" x14ac:dyDescent="0.25">
      <c r="A36" s="38"/>
      <c r="B36" s="49">
        <f>ROW(B36) - ROW($B$9)</f>
        <v>27</v>
      </c>
      <c r="C36" s="63">
        <v>2</v>
      </c>
      <c r="D36" s="56" t="s">
        <v>59</v>
      </c>
      <c r="E36" s="56" t="s">
        <v>72</v>
      </c>
      <c r="F36" s="56" t="s">
        <v>107</v>
      </c>
      <c r="G36" s="57" t="s">
        <v>132</v>
      </c>
      <c r="H36" s="57" t="s">
        <v>155</v>
      </c>
      <c r="I36" s="57" t="s">
        <v>171</v>
      </c>
      <c r="J36" s="58" t="s">
        <v>175</v>
      </c>
      <c r="K36" s="58" t="s">
        <v>204</v>
      </c>
      <c r="L36" s="58" t="s">
        <v>207</v>
      </c>
      <c r="M36" s="58" t="s">
        <v>217</v>
      </c>
      <c r="N36" s="59"/>
    </row>
    <row r="37" spans="1:14" s="3" customFormat="1" ht="13.5" customHeight="1" x14ac:dyDescent="0.25">
      <c r="A37" s="38"/>
      <c r="B37" s="50">
        <f>ROW(B37) - ROW($B$9)</f>
        <v>28</v>
      </c>
      <c r="C37" s="64">
        <v>2</v>
      </c>
      <c r="D37" s="60" t="s">
        <v>60</v>
      </c>
      <c r="E37" s="60" t="s">
        <v>78</v>
      </c>
      <c r="F37" s="60" t="s">
        <v>108</v>
      </c>
      <c r="G37" s="60" t="s">
        <v>133</v>
      </c>
      <c r="H37" s="60" t="s">
        <v>156</v>
      </c>
      <c r="I37" s="60" t="s">
        <v>172</v>
      </c>
      <c r="J37" s="61" t="s">
        <v>175</v>
      </c>
      <c r="K37" s="61" t="s">
        <v>205</v>
      </c>
      <c r="L37" s="61" t="s">
        <v>207</v>
      </c>
      <c r="M37" s="61" t="s">
        <v>218</v>
      </c>
      <c r="N37" s="62"/>
    </row>
    <row r="38" spans="1:14" s="3" customFormat="1" ht="13.5" customHeight="1" x14ac:dyDescent="0.25">
      <c r="A38" s="38"/>
      <c r="B38" s="49">
        <f>ROW(B38) - ROW($B$9)</f>
        <v>29</v>
      </c>
      <c r="C38" s="63">
        <v>1</v>
      </c>
      <c r="D38" s="56" t="s">
        <v>61</v>
      </c>
      <c r="E38" s="56" t="s">
        <v>79</v>
      </c>
      <c r="F38" s="56" t="s">
        <v>109</v>
      </c>
      <c r="G38" s="57"/>
      <c r="H38" s="57" t="s">
        <v>157</v>
      </c>
      <c r="I38" s="57" t="s">
        <v>167</v>
      </c>
      <c r="J38" s="58" t="s">
        <v>79</v>
      </c>
      <c r="K38" s="58" t="s">
        <v>109</v>
      </c>
      <c r="L38" s="58" t="s">
        <v>177</v>
      </c>
      <c r="M38" s="58" t="s">
        <v>219</v>
      </c>
      <c r="N38" s="59"/>
    </row>
    <row r="39" spans="1:14" s="3" customFormat="1" ht="13.5" customHeight="1" x14ac:dyDescent="0.25">
      <c r="A39" s="38"/>
      <c r="B39" s="50">
        <f>ROW(B39) - ROW($B$9)</f>
        <v>30</v>
      </c>
      <c r="C39" s="64">
        <v>1</v>
      </c>
      <c r="D39" s="60" t="s">
        <v>62</v>
      </c>
      <c r="E39" s="60" t="s">
        <v>79</v>
      </c>
      <c r="F39" s="60" t="s">
        <v>110</v>
      </c>
      <c r="G39" s="60"/>
      <c r="H39" s="60" t="s">
        <v>158</v>
      </c>
      <c r="I39" s="60" t="s">
        <v>173</v>
      </c>
      <c r="J39" s="61" t="s">
        <v>79</v>
      </c>
      <c r="K39" s="61" t="s">
        <v>110</v>
      </c>
      <c r="L39" s="61"/>
      <c r="M39" s="61"/>
      <c r="N39" s="62"/>
    </row>
    <row r="40" spans="1:14" x14ac:dyDescent="0.25">
      <c r="A40" s="38"/>
      <c r="B40" s="55" t="s">
        <v>23</v>
      </c>
      <c r="C40" s="70" t="s">
        <v>30</v>
      </c>
      <c r="D40" s="52"/>
      <c r="E40" s="36"/>
      <c r="F40" s="35"/>
      <c r="G40" s="34"/>
      <c r="H40" s="5" t="s">
        <v>19</v>
      </c>
      <c r="J40" s="54"/>
      <c r="K40" s="54"/>
      <c r="L40" s="54"/>
      <c r="M40" s="54"/>
      <c r="N40" s="53"/>
    </row>
    <row r="41" spans="1:14" x14ac:dyDescent="0.25">
      <c r="A41" s="38"/>
      <c r="B41" s="8"/>
      <c r="C41" s="8"/>
      <c r="D41" s="8"/>
      <c r="E41" s="8"/>
      <c r="F41" s="7"/>
      <c r="G41" s="9"/>
      <c r="H41" s="6"/>
      <c r="I41" s="6"/>
      <c r="J41" s="7"/>
      <c r="K41" s="7"/>
      <c r="L41" s="7"/>
      <c r="M41" s="7"/>
      <c r="N41" s="14"/>
    </row>
    <row r="42" spans="1:14" x14ac:dyDescent="0.25">
      <c r="A42" s="38"/>
      <c r="B42" s="8"/>
      <c r="C42" s="8"/>
      <c r="D42" s="8"/>
      <c r="E42" s="8"/>
      <c r="F42" s="8"/>
      <c r="G42" s="10"/>
      <c r="H42" s="7"/>
      <c r="I42" s="7"/>
      <c r="J42" s="7"/>
      <c r="K42" s="7"/>
      <c r="L42" s="7"/>
      <c r="M42" s="7"/>
      <c r="N42" s="15"/>
    </row>
    <row r="43" spans="1:14" x14ac:dyDescent="0.25">
      <c r="A43" s="38"/>
      <c r="B43" s="8"/>
      <c r="C43" s="8"/>
      <c r="D43" s="8"/>
      <c r="E43" s="8"/>
      <c r="F43" s="8"/>
      <c r="G43" s="10"/>
      <c r="H43" s="7"/>
      <c r="I43" s="7" t="s">
        <v>21</v>
      </c>
      <c r="J43" s="7"/>
      <c r="K43" s="7"/>
      <c r="L43" s="7"/>
      <c r="M43" s="7"/>
      <c r="N43" s="15"/>
    </row>
    <row r="44" spans="1:14" ht="13.8" thickBot="1" x14ac:dyDescent="0.3">
      <c r="A44" s="38"/>
      <c r="B44" s="33"/>
      <c r="C44" s="13"/>
      <c r="D44" s="13"/>
      <c r="E44" s="13"/>
      <c r="F44" s="13"/>
      <c r="G44" s="11"/>
      <c r="H44" s="12"/>
      <c r="I44" s="12"/>
      <c r="J44" s="12"/>
      <c r="K44" s="12"/>
      <c r="L44" s="12"/>
      <c r="M44" s="12"/>
      <c r="N44" s="16"/>
    </row>
    <row r="46" spans="1:14" x14ac:dyDescent="0.25">
      <c r="D46" s="1"/>
      <c r="E46" s="1"/>
      <c r="F46" s="1"/>
      <c r="G46" s="1"/>
    </row>
    <row r="47" spans="1:14" x14ac:dyDescent="0.25">
      <c r="D47" s="1"/>
      <c r="E47" s="1"/>
      <c r="F47" s="1"/>
      <c r="G47" s="1"/>
    </row>
    <row r="48" spans="1:14" x14ac:dyDescent="0.25">
      <c r="D48" s="1"/>
      <c r="E48" s="1"/>
      <c r="F48" s="1"/>
      <c r="G48" s="1"/>
    </row>
  </sheetData>
  <phoneticPr fontId="0" type="noConversion"/>
  <pageMargins left="0.46" right="0.36" top="0.57999999999999996" bottom="0.984251969" header="0.5" footer="0.5"/>
  <pageSetup paperSize="9" scale="60" orientation="landscape" horizontalDpi="200" verticalDpi="200" r:id="rId1"/>
  <headerFooter alignWithMargins="0">
    <oddFooter>&amp;L&amp;BAltium Limited Confidential&amp;B&amp;C&amp;D&amp;RPage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4"/>
  <sheetViews>
    <sheetView workbookViewId="0">
      <selection activeCell="B14" sqref="B14"/>
    </sheetView>
  </sheetViews>
  <sheetFormatPr baseColWidth="10" defaultColWidth="9.109375" defaultRowHeight="13.2" x14ac:dyDescent="0.25"/>
  <cols>
    <col min="1" max="1" width="28" bestFit="1" customWidth="1"/>
    <col min="2" max="2" width="110.5546875" customWidth="1"/>
  </cols>
  <sheetData>
    <row r="1" spans="1:2" x14ac:dyDescent="0.25">
      <c r="A1" s="32" t="s">
        <v>0</v>
      </c>
      <c r="B1" s="71" t="s">
        <v>220</v>
      </c>
    </row>
    <row r="2" spans="1:2" x14ac:dyDescent="0.25">
      <c r="A2" s="31" t="s">
        <v>1</v>
      </c>
      <c r="B2" s="72" t="s">
        <v>26</v>
      </c>
    </row>
    <row r="3" spans="1:2" x14ac:dyDescent="0.25">
      <c r="A3" s="32" t="s">
        <v>2</v>
      </c>
      <c r="B3" s="73" t="s">
        <v>27</v>
      </c>
    </row>
    <row r="4" spans="1:2" x14ac:dyDescent="0.25">
      <c r="A4" s="31" t="s">
        <v>3</v>
      </c>
      <c r="B4" s="72" t="s">
        <v>26</v>
      </c>
    </row>
    <row r="5" spans="1:2" x14ac:dyDescent="0.25">
      <c r="A5" s="32" t="s">
        <v>4</v>
      </c>
      <c r="B5" s="73" t="s">
        <v>220</v>
      </c>
    </row>
    <row r="6" spans="1:2" x14ac:dyDescent="0.25">
      <c r="A6" s="31" t="s">
        <v>5</v>
      </c>
      <c r="B6" s="72" t="s">
        <v>25</v>
      </c>
    </row>
    <row r="7" spans="1:2" x14ac:dyDescent="0.25">
      <c r="A7" s="32" t="s">
        <v>6</v>
      </c>
      <c r="B7" s="73" t="s">
        <v>30</v>
      </c>
    </row>
    <row r="8" spans="1:2" x14ac:dyDescent="0.25">
      <c r="A8" s="31" t="s">
        <v>7</v>
      </c>
      <c r="B8" s="72" t="s">
        <v>29</v>
      </c>
    </row>
    <row r="9" spans="1:2" x14ac:dyDescent="0.25">
      <c r="A9" s="32" t="s">
        <v>8</v>
      </c>
      <c r="B9" s="73" t="s">
        <v>28</v>
      </c>
    </row>
    <row r="10" spans="1:2" x14ac:dyDescent="0.25">
      <c r="A10" s="31" t="s">
        <v>9</v>
      </c>
      <c r="B10" s="72" t="s">
        <v>221</v>
      </c>
    </row>
    <row r="11" spans="1:2" x14ac:dyDescent="0.25">
      <c r="A11" s="32" t="s">
        <v>10</v>
      </c>
      <c r="B11" s="73" t="s">
        <v>222</v>
      </c>
    </row>
    <row r="12" spans="1:2" x14ac:dyDescent="0.25">
      <c r="A12" s="31" t="s">
        <v>11</v>
      </c>
      <c r="B12" s="72" t="s">
        <v>223</v>
      </c>
    </row>
    <row r="13" spans="1:2" x14ac:dyDescent="0.25">
      <c r="A13" s="32" t="s">
        <v>12</v>
      </c>
      <c r="B13" s="73" t="s">
        <v>224</v>
      </c>
    </row>
    <row r="14" spans="1:2" x14ac:dyDescent="0.25">
      <c r="A14" s="31" t="s">
        <v>13</v>
      </c>
      <c r="B14" s="72" t="s">
        <v>222</v>
      </c>
    </row>
  </sheetData>
  <phoneticPr fontId="16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Part List Report</vt:lpstr>
      <vt:lpstr>Project Information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Windows-Benutzer</dc:creator>
  <cp:lastModifiedBy>Windows-Benutzer</cp:lastModifiedBy>
  <cp:lastPrinted>2005-05-16T01:11:50Z</cp:lastPrinted>
  <dcterms:created xsi:type="dcterms:W3CDTF">2002-11-05T15:28:02Z</dcterms:created>
  <dcterms:modified xsi:type="dcterms:W3CDTF">2022-03-04T13:21:58Z</dcterms:modified>
</cp:coreProperties>
</file>